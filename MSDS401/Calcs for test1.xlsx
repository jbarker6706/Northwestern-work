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ark\Documents\MSDS401\"/>
    </mc:Choice>
  </mc:AlternateContent>
  <xr:revisionPtr revIDLastSave="0" documentId="8_{D390F30A-2F06-4A20-9526-B603266E83A9}" xr6:coauthVersionLast="43" xr6:coauthVersionMax="43" xr10:uidLastSave="{00000000-0000-0000-0000-000000000000}"/>
  <bookViews>
    <workbookView xWindow="28680" yWindow="-120" windowWidth="29040" windowHeight="15840" xr2:uid="{638A29A9-1EBC-411E-92F0-58C7F8A2DE2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F9" i="1"/>
  <c r="F8" i="1"/>
  <c r="F7" i="1"/>
  <c r="F6" i="1"/>
  <c r="F5" i="1"/>
  <c r="F4" i="1"/>
  <c r="F3" i="1"/>
  <c r="F2" i="1"/>
  <c r="F1" i="1"/>
  <c r="A10" i="1"/>
  <c r="B9" i="1"/>
  <c r="B8" i="1"/>
  <c r="B7" i="1"/>
  <c r="B6" i="1"/>
  <c r="B5" i="1"/>
  <c r="B4" i="1"/>
  <c r="B3" i="1"/>
  <c r="B2" i="1"/>
  <c r="B1" i="1"/>
  <c r="E9" i="1"/>
  <c r="A9" i="1"/>
  <c r="L7" i="1"/>
  <c r="M6" i="1"/>
  <c r="L6" i="1"/>
  <c r="J6" i="1"/>
  <c r="M5" i="1"/>
  <c r="M4" i="1"/>
  <c r="M3" i="1"/>
  <c r="M2" i="1"/>
  <c r="M1" i="1"/>
  <c r="L5" i="1"/>
  <c r="L4" i="1"/>
  <c r="L3" i="1"/>
  <c r="L2" i="1"/>
  <c r="L1" i="1"/>
  <c r="P22" i="1"/>
  <c r="Q21" i="1"/>
  <c r="P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Q1" i="1"/>
  <c r="X2" i="1"/>
  <c r="X1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W1" i="1"/>
  <c r="V15" i="1"/>
  <c r="V1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515E-2DE2-4093-A5BA-E94033D6F0C1}">
  <dimension ref="A1:X22"/>
  <sheetViews>
    <sheetView tabSelected="1" workbookViewId="0">
      <selection activeCell="E11" sqref="E11"/>
    </sheetView>
  </sheetViews>
  <sheetFormatPr defaultRowHeight="15" x14ac:dyDescent="0.25"/>
  <sheetData>
    <row r="1" spans="1:24" x14ac:dyDescent="0.25">
      <c r="A1">
        <v>67</v>
      </c>
      <c r="B1">
        <f>A$1*A$1</f>
        <v>4489</v>
      </c>
      <c r="E1">
        <v>49</v>
      </c>
      <c r="F1">
        <f>E$1*E$1</f>
        <v>2401</v>
      </c>
      <c r="J1">
        <v>5</v>
      </c>
      <c r="K1">
        <v>54.5</v>
      </c>
      <c r="L1">
        <f>J$1*K$1</f>
        <v>272.5</v>
      </c>
      <c r="M1">
        <f>K$1*L$1</f>
        <v>14851.25</v>
      </c>
      <c r="N1">
        <v>16</v>
      </c>
      <c r="P1">
        <v>0.4</v>
      </c>
      <c r="Q1">
        <f>P$1*P$1</f>
        <v>0.16000000000000003</v>
      </c>
      <c r="R1">
        <v>80</v>
      </c>
      <c r="V1">
        <v>18</v>
      </c>
      <c r="W1">
        <f>V$1*V$1</f>
        <v>324</v>
      </c>
      <c r="X1">
        <f>SUM(W1:W13)</f>
        <v>2244</v>
      </c>
    </row>
    <row r="2" spans="1:24" x14ac:dyDescent="0.25">
      <c r="A2">
        <v>68</v>
      </c>
      <c r="B2">
        <f>A$2*A$2</f>
        <v>4624</v>
      </c>
      <c r="E2">
        <v>56</v>
      </c>
      <c r="F2">
        <f>E$2*E$2</f>
        <v>3136</v>
      </c>
      <c r="J2">
        <v>7</v>
      </c>
      <c r="K2">
        <v>64.5</v>
      </c>
      <c r="L2">
        <f>J$2*K$2</f>
        <v>451.5</v>
      </c>
      <c r="M2">
        <f>K$2*L$2</f>
        <v>29121.75</v>
      </c>
      <c r="N2">
        <v>22</v>
      </c>
      <c r="P2">
        <v>1</v>
      </c>
      <c r="Q2">
        <f>P$2*P$2</f>
        <v>1</v>
      </c>
      <c r="R2">
        <v>90</v>
      </c>
      <c r="V2">
        <v>18</v>
      </c>
      <c r="W2">
        <f>V$2*V$2</f>
        <v>324</v>
      </c>
      <c r="X2">
        <f>STDEV(V1:V13)</f>
        <v>4.7851265288846747</v>
      </c>
    </row>
    <row r="3" spans="1:24" x14ac:dyDescent="0.25">
      <c r="A3">
        <v>72</v>
      </c>
      <c r="B3">
        <f>A$3*A$3</f>
        <v>5184</v>
      </c>
      <c r="E3">
        <v>76</v>
      </c>
      <c r="F3">
        <f>E$3*E$3</f>
        <v>5776</v>
      </c>
      <c r="J3">
        <v>9</v>
      </c>
      <c r="K3">
        <v>74.5</v>
      </c>
      <c r="L3">
        <f>J$3*K$3</f>
        <v>670.5</v>
      </c>
      <c r="M3">
        <f>K$3*L$3</f>
        <v>49952.25</v>
      </c>
      <c r="N3">
        <v>29</v>
      </c>
      <c r="P3">
        <v>1.5</v>
      </c>
      <c r="Q3">
        <f>P$3*P$3</f>
        <v>2.25</v>
      </c>
      <c r="R3">
        <v>119</v>
      </c>
      <c r="V3">
        <v>17</v>
      </c>
      <c r="W3">
        <f>V$3*V$3</f>
        <v>289</v>
      </c>
    </row>
    <row r="4" spans="1:24" x14ac:dyDescent="0.25">
      <c r="A4">
        <v>89</v>
      </c>
      <c r="B4">
        <f>A$4*A$4</f>
        <v>7921</v>
      </c>
      <c r="E4">
        <v>78</v>
      </c>
      <c r="F4">
        <f>E$4*E$4</f>
        <v>6084</v>
      </c>
      <c r="J4">
        <v>10</v>
      </c>
      <c r="K4">
        <v>84.5</v>
      </c>
      <c r="L4">
        <f>J$4*K$4</f>
        <v>845</v>
      </c>
      <c r="M4">
        <f>K$4*L$4</f>
        <v>71402.5</v>
      </c>
      <c r="N4">
        <v>31</v>
      </c>
      <c r="P4">
        <v>1.6</v>
      </c>
      <c r="Q4">
        <f>P$4*P$4</f>
        <v>2.5600000000000005</v>
      </c>
      <c r="R4">
        <v>119</v>
      </c>
      <c r="V4">
        <v>9</v>
      </c>
      <c r="W4">
        <f>V$4*V$4</f>
        <v>81</v>
      </c>
    </row>
    <row r="5" spans="1:24" x14ac:dyDescent="0.25">
      <c r="A5">
        <v>96</v>
      </c>
      <c r="B5">
        <f>A$5*A$5</f>
        <v>9216</v>
      </c>
      <c r="E5">
        <v>95</v>
      </c>
      <c r="F5">
        <f>E$5*E$5</f>
        <v>9025</v>
      </c>
      <c r="J5">
        <v>9</v>
      </c>
      <c r="K5">
        <v>94.5</v>
      </c>
      <c r="L5">
        <f>J$5*K$5</f>
        <v>850.5</v>
      </c>
      <c r="M5">
        <f>K$5*L$5</f>
        <v>80372.25</v>
      </c>
      <c r="N5">
        <v>31</v>
      </c>
      <c r="P5">
        <v>2</v>
      </c>
      <c r="Q5">
        <f>P$5*P$5</f>
        <v>4</v>
      </c>
      <c r="R5">
        <v>121</v>
      </c>
      <c r="V5">
        <v>15</v>
      </c>
      <c r="W5">
        <f>V$5*V$5</f>
        <v>225</v>
      </c>
    </row>
    <row r="6" spans="1:24" x14ac:dyDescent="0.25">
      <c r="A6">
        <v>97</v>
      </c>
      <c r="B6">
        <f>A$6*A$6</f>
        <v>9409</v>
      </c>
      <c r="E6">
        <v>98</v>
      </c>
      <c r="F6">
        <f>E$6*E$6</f>
        <v>9604</v>
      </c>
      <c r="J6">
        <f>SUM(J1:J5)</f>
        <v>40</v>
      </c>
      <c r="L6">
        <f>SUM(L1:L5)</f>
        <v>3090</v>
      </c>
      <c r="M6">
        <f>SUM(M1:M5)</f>
        <v>245700</v>
      </c>
      <c r="N6">
        <v>37</v>
      </c>
      <c r="P6">
        <v>2.2000000000000002</v>
      </c>
      <c r="Q6">
        <f>P$6*P$6</f>
        <v>4.8400000000000007</v>
      </c>
      <c r="R6">
        <v>121</v>
      </c>
      <c r="V6">
        <v>5</v>
      </c>
      <c r="W6">
        <f>V$6*V$6</f>
        <v>25</v>
      </c>
    </row>
    <row r="7" spans="1:24" x14ac:dyDescent="0.25">
      <c r="A7">
        <v>120</v>
      </c>
      <c r="B7">
        <f>A$7*A$7</f>
        <v>14400</v>
      </c>
      <c r="E7">
        <v>115</v>
      </c>
      <c r="F7">
        <f>E$7*E$7</f>
        <v>13225</v>
      </c>
      <c r="L7">
        <f>L$6*L$6</f>
        <v>9548100</v>
      </c>
      <c r="N7">
        <v>41</v>
      </c>
      <c r="P7">
        <v>2.4</v>
      </c>
      <c r="Q7">
        <f>P$7*P$7</f>
        <v>5.76</v>
      </c>
      <c r="R7">
        <v>123</v>
      </c>
      <c r="V7">
        <v>10</v>
      </c>
      <c r="W7">
        <f>V$7*V$7</f>
        <v>100</v>
      </c>
    </row>
    <row r="8" spans="1:24" x14ac:dyDescent="0.25">
      <c r="A8">
        <v>124</v>
      </c>
      <c r="B8">
        <f>A$8*A$8</f>
        <v>15376</v>
      </c>
      <c r="E8">
        <v>126</v>
      </c>
      <c r="F8">
        <f>E$8*E$8</f>
        <v>15876</v>
      </c>
      <c r="N8">
        <v>47</v>
      </c>
      <c r="P8">
        <v>2.7</v>
      </c>
      <c r="Q8">
        <f>P$8*P$8</f>
        <v>7.2900000000000009</v>
      </c>
      <c r="R8">
        <v>132</v>
      </c>
      <c r="V8">
        <v>5</v>
      </c>
      <c r="W8">
        <f>V$8*V$8</f>
        <v>25</v>
      </c>
    </row>
    <row r="9" spans="1:24" x14ac:dyDescent="0.25">
      <c r="A9">
        <f>SUM(A1:A8)</f>
        <v>733</v>
      </c>
      <c r="B9">
        <f>SUM(B1:B8)</f>
        <v>70619</v>
      </c>
      <c r="E9">
        <f>SUM(E1:E8)</f>
        <v>693</v>
      </c>
      <c r="F9">
        <f>SUM(F1:F8)</f>
        <v>65127</v>
      </c>
      <c r="N9">
        <v>48</v>
      </c>
      <c r="P9">
        <v>3.4</v>
      </c>
      <c r="Q9">
        <f>P$9*P$9</f>
        <v>11.559999999999999</v>
      </c>
      <c r="R9">
        <v>132</v>
      </c>
      <c r="V9">
        <v>15</v>
      </c>
      <c r="W9">
        <f>V$9*V$9</f>
        <v>225</v>
      </c>
    </row>
    <row r="10" spans="1:24" x14ac:dyDescent="0.25">
      <c r="A10">
        <f>A$9*A$9</f>
        <v>537289</v>
      </c>
      <c r="E10">
        <f>E$9*E$9</f>
        <v>480249</v>
      </c>
      <c r="N10">
        <v>50</v>
      </c>
      <c r="P10">
        <v>3.5</v>
      </c>
      <c r="Q10">
        <f>P$10*P$10</f>
        <v>12.25</v>
      </c>
      <c r="R10">
        <v>133</v>
      </c>
      <c r="V10">
        <v>17</v>
      </c>
      <c r="W10">
        <f>V$10*V$10</f>
        <v>289</v>
      </c>
    </row>
    <row r="11" spans="1:24" x14ac:dyDescent="0.25">
      <c r="N11">
        <v>54</v>
      </c>
      <c r="P11">
        <v>3.6</v>
      </c>
      <c r="Q11">
        <f>P$11*P$11</f>
        <v>12.96</v>
      </c>
      <c r="R11">
        <v>133</v>
      </c>
      <c r="V11">
        <v>7</v>
      </c>
      <c r="W11">
        <f>V$11*V$11</f>
        <v>49</v>
      </c>
    </row>
    <row r="12" spans="1:24" x14ac:dyDescent="0.25">
      <c r="P12">
        <v>3.6</v>
      </c>
      <c r="Q12">
        <f>P$12*P$12</f>
        <v>12.96</v>
      </c>
      <c r="R12">
        <v>134</v>
      </c>
      <c r="V12">
        <v>12</v>
      </c>
      <c r="W12">
        <f>V$12*V$12</f>
        <v>144</v>
      </c>
    </row>
    <row r="13" spans="1:24" x14ac:dyDescent="0.25">
      <c r="P13">
        <v>3.6</v>
      </c>
      <c r="Q13">
        <f>P$13*P$13</f>
        <v>12.96</v>
      </c>
      <c r="R13">
        <v>134</v>
      </c>
      <c r="V13">
        <v>12</v>
      </c>
      <c r="W13">
        <f>V$13*V$13</f>
        <v>144</v>
      </c>
    </row>
    <row r="14" spans="1:24" x14ac:dyDescent="0.25">
      <c r="P14">
        <v>3.7</v>
      </c>
      <c r="Q14">
        <f>P$14*P$14</f>
        <v>13.690000000000001</v>
      </c>
      <c r="R14">
        <v>145</v>
      </c>
      <c r="V14">
        <f>SUM(V1:V13)</f>
        <v>160</v>
      </c>
      <c r="W14">
        <f>V$14*V$14</f>
        <v>25600</v>
      </c>
    </row>
    <row r="15" spans="1:24" x14ac:dyDescent="0.25">
      <c r="P15">
        <v>3.7</v>
      </c>
      <c r="Q15">
        <f>P$15*P$15</f>
        <v>13.690000000000001</v>
      </c>
      <c r="R15">
        <v>145</v>
      </c>
      <c r="V15">
        <f>V$14/13</f>
        <v>12.307692307692308</v>
      </c>
    </row>
    <row r="16" spans="1:24" x14ac:dyDescent="0.25">
      <c r="P16">
        <v>3.7</v>
      </c>
      <c r="Q16">
        <f>P$16*P$16</f>
        <v>13.690000000000001</v>
      </c>
      <c r="R16">
        <v>151</v>
      </c>
    </row>
    <row r="17" spans="16:18" x14ac:dyDescent="0.25">
      <c r="P17">
        <v>3.9</v>
      </c>
      <c r="Q17">
        <f>P$17*P$17</f>
        <v>15.209999999999999</v>
      </c>
      <c r="R17">
        <v>151</v>
      </c>
    </row>
    <row r="18" spans="16:18" x14ac:dyDescent="0.25">
      <c r="P18">
        <v>4.0999999999999996</v>
      </c>
      <c r="Q18">
        <f>P$18*P$18</f>
        <v>16.809999999999999</v>
      </c>
      <c r="R18">
        <v>151</v>
      </c>
    </row>
    <row r="19" spans="16:18" x14ac:dyDescent="0.25">
      <c r="P19">
        <v>4.2</v>
      </c>
      <c r="Q19">
        <f>P$19*P$19</f>
        <v>17.64</v>
      </c>
      <c r="R19">
        <v>168</v>
      </c>
    </row>
    <row r="20" spans="16:18" x14ac:dyDescent="0.25">
      <c r="P20">
        <v>4.2</v>
      </c>
      <c r="Q20">
        <f>P$20*P$20</f>
        <v>17.64</v>
      </c>
      <c r="R20">
        <v>195</v>
      </c>
    </row>
    <row r="21" spans="16:18" x14ac:dyDescent="0.25">
      <c r="P21">
        <f>SUM(P1:P20)</f>
        <v>59.000000000000014</v>
      </c>
      <c r="Q21">
        <f>SUM(Q1:Q20)</f>
        <v>198.92000000000002</v>
      </c>
      <c r="R21">
        <v>200</v>
      </c>
    </row>
    <row r="22" spans="16:18" x14ac:dyDescent="0.25">
      <c r="P22">
        <f>P$21*P$21</f>
        <v>3481.0000000000018</v>
      </c>
    </row>
  </sheetData>
  <sortState ref="E1:E8">
    <sortCondition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Barker</dc:creator>
  <cp:lastModifiedBy>John Barker</cp:lastModifiedBy>
  <dcterms:created xsi:type="dcterms:W3CDTF">2019-04-14T19:39:35Z</dcterms:created>
  <dcterms:modified xsi:type="dcterms:W3CDTF">2019-05-08T15:50:13Z</dcterms:modified>
</cp:coreProperties>
</file>